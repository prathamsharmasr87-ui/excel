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sku\Downloads\"/>
    </mc:Choice>
  </mc:AlternateContent>
  <xr:revisionPtr revIDLastSave="0" documentId="13_ncr:1_{47585B4D-E0D7-46CA-9000-ECAE6245C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set" sheetId="1" r:id="rId1"/>
    <sheet name="Queries" sheetId="2" r:id="rId2"/>
  </sheets>
  <definedNames>
    <definedName name="_xlnm._FilterDatabase" localSheetId="0" hidden="1">'Student Dataset'!$A$1:$L$14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1" i="1"/>
  <c r="H19" i="1"/>
  <c r="L2" i="1"/>
  <c r="K5" i="1"/>
  <c r="J2" i="1"/>
  <c r="I2" i="1"/>
  <c r="I5" i="1"/>
  <c r="B4" i="2"/>
  <c r="B1" i="2"/>
  <c r="L7" i="1"/>
  <c r="K7" i="1"/>
  <c r="J7" i="1"/>
  <c r="I7" i="1"/>
  <c r="L12" i="1"/>
  <c r="K12" i="1"/>
  <c r="J12" i="1"/>
  <c r="I12" i="1"/>
  <c r="L9" i="1"/>
  <c r="K9" i="1"/>
  <c r="J9" i="1"/>
  <c r="I9" i="1"/>
  <c r="L3" i="1"/>
  <c r="K3" i="1"/>
  <c r="J3" i="1"/>
  <c r="I3" i="1"/>
  <c r="L8" i="1"/>
  <c r="K8" i="1"/>
  <c r="J8" i="1"/>
  <c r="I8" i="1"/>
  <c r="L10" i="1"/>
  <c r="K10" i="1"/>
  <c r="J10" i="1"/>
  <c r="I10" i="1"/>
  <c r="L4" i="1"/>
  <c r="K4" i="1"/>
  <c r="J4" i="1"/>
  <c r="I4" i="1"/>
  <c r="L6" i="1"/>
  <c r="K6" i="1"/>
  <c r="J6" i="1"/>
  <c r="I6" i="1"/>
  <c r="L11" i="1"/>
  <c r="K11" i="1"/>
  <c r="J11" i="1"/>
  <c r="I11" i="1"/>
  <c r="L5" i="1"/>
  <c r="J5" i="1"/>
  <c r="L13" i="1"/>
  <c r="K13" i="1"/>
  <c r="J13" i="1"/>
  <c r="I13" i="1"/>
  <c r="L14" i="1"/>
  <c r="K14" i="1"/>
  <c r="J14" i="1"/>
  <c r="I14" i="1"/>
  <c r="K2" i="1"/>
  <c r="B2" i="2" l="1"/>
  <c r="H18" i="1"/>
  <c r="B3" i="2"/>
  <c r="H20" i="1"/>
  <c r="B5" i="2"/>
  <c r="H16" i="1"/>
  <c r="H17" i="1"/>
  <c r="H22" i="1" s="1"/>
</calcChain>
</file>

<file path=xl/sharedStrings.xml><?xml version="1.0" encoding="utf-8"?>
<sst xmlns="http://schemas.openxmlformats.org/spreadsheetml/2006/main" count="38" uniqueCount="37">
  <si>
    <t>Name</t>
  </si>
  <si>
    <t>Attendance %</t>
  </si>
  <si>
    <t>Marks %</t>
  </si>
  <si>
    <t>Lifestyle Score</t>
  </si>
  <si>
    <t>Performance Category</t>
  </si>
  <si>
    <t>Lifestyle Category</t>
  </si>
  <si>
    <t>Attendance Status</t>
  </si>
  <si>
    <t>Priya</t>
  </si>
  <si>
    <t>Rohan</t>
  </si>
  <si>
    <t>Rahul</t>
  </si>
  <si>
    <t>Simran</t>
  </si>
  <si>
    <t>Aman</t>
  </si>
  <si>
    <t>Aditi</t>
  </si>
  <si>
    <t>Neha</t>
  </si>
  <si>
    <t>Arjun</t>
  </si>
  <si>
    <t>Karan</t>
  </si>
  <si>
    <t>Meera</t>
  </si>
  <si>
    <t>Tanya</t>
  </si>
  <si>
    <t>Vikram</t>
  </si>
  <si>
    <t>Pooja</t>
  </si>
  <si>
    <t>Average Marks</t>
  </si>
  <si>
    <t>Top Performer</t>
  </si>
  <si>
    <t>Lowest Performer</t>
  </si>
  <si>
    <t>High Screen Time</t>
  </si>
  <si>
    <t>Balanced Students</t>
  </si>
  <si>
    <t>Social Media</t>
  </si>
  <si>
    <t>Student ID</t>
  </si>
  <si>
    <t>Study Hours</t>
  </si>
  <si>
    <t>Screen Time</t>
  </si>
  <si>
    <t>Sleep Hours</t>
  </si>
  <si>
    <t>Top performer</t>
  </si>
  <si>
    <t>Lowest performe</t>
  </si>
  <si>
    <t>Average Performer</t>
  </si>
  <si>
    <t>Balanced Lifestyle Students</t>
  </si>
  <si>
    <t>Find Marks of a Student</t>
  </si>
  <si>
    <t xml:space="preserve">Students Scoring Above 85 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</si>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</sst>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Font="1"/>
    <xf numFmtId="0" fontId="0" fillId="0" borderId="0" xfId="0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1" fillId="2" borderId="2" xfId="1" applyAlignment="1">
      <alignment wrapText="1"/>
    </xf>
    <xf numFmtId="0" fontId="1" fillId="2" borderId="2" xfId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J20" sqref="J20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10.6640625" bestFit="1" customWidth="1"/>
    <col min="4" max="4" width="10.88671875" bestFit="1" customWidth="1"/>
    <col min="5" max="5" width="10.5546875" bestFit="1" customWidth="1"/>
    <col min="6" max="6" width="11.33203125" bestFit="1" customWidth="1"/>
    <col min="7" max="7" width="23.44140625" bestFit="1" customWidth="1"/>
    <col min="8" max="8" width="7.88671875" bestFit="1" customWidth="1"/>
    <col min="9" max="9" width="12.77734375" bestFit="1" customWidth="1"/>
    <col min="10" max="10" width="19.5546875" bestFit="1" customWidth="1"/>
    <col min="11" max="11" width="15.6640625" bestFit="1" customWidth="1"/>
    <col min="12" max="12" width="15.88671875" bestFit="1" customWidth="1"/>
  </cols>
  <sheetData>
    <row r="1" spans="1:13" ht="28.8" x14ac:dyDescent="0.3">
      <c r="A1" s="7" t="s">
        <v>26</v>
      </c>
      <c r="B1" s="7" t="s">
        <v>0</v>
      </c>
      <c r="C1" s="7" t="s">
        <v>27</v>
      </c>
      <c r="D1" s="7" t="s">
        <v>28</v>
      </c>
      <c r="E1" s="7" t="s">
        <v>29</v>
      </c>
      <c r="F1" s="7" t="s">
        <v>25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1"/>
    </row>
    <row r="2" spans="1:13" x14ac:dyDescent="0.3">
      <c r="A2" s="8">
        <v>1</v>
      </c>
      <c r="B2" s="8" t="s">
        <v>7</v>
      </c>
      <c r="C2" s="8">
        <v>6</v>
      </c>
      <c r="D2" s="8">
        <v>3</v>
      </c>
      <c r="E2" s="8">
        <v>8</v>
      </c>
      <c r="F2" s="8">
        <v>2</v>
      </c>
      <c r="G2" s="8">
        <v>90</v>
      </c>
      <c r="H2" s="8">
        <v>92</v>
      </c>
      <c r="I2" s="8">
        <f>(C2*10)+(E2*5)-(D2*5)</f>
        <v>85</v>
      </c>
      <c r="J2" s="8" t="str">
        <f>IF(H2&gt;=85,"Excellent",IF(H2&gt;=70,"Good","Needs Improvement"))</f>
        <v>Excellent</v>
      </c>
      <c r="K2" s="8" t="str">
        <f>IF(AND(C2&gt;=5,D2&lt;=4,E2&gt;=7),"Balanced","Unbalanced")</f>
        <v>Balanced</v>
      </c>
      <c r="L2" s="8" t="str">
        <f>IF(G2&gt;=75,"Regular","Irregular")</f>
        <v>Regular</v>
      </c>
    </row>
    <row r="3" spans="1:13" x14ac:dyDescent="0.3">
      <c r="A3" s="8">
        <v>10</v>
      </c>
      <c r="B3" s="8" t="s">
        <v>16</v>
      </c>
      <c r="C3" s="8">
        <v>6</v>
      </c>
      <c r="D3" s="8">
        <v>3</v>
      </c>
      <c r="E3" s="8">
        <v>8</v>
      </c>
      <c r="F3" s="8">
        <v>2</v>
      </c>
      <c r="G3" s="8">
        <v>92</v>
      </c>
      <c r="H3" s="8">
        <v>91</v>
      </c>
      <c r="I3" s="8">
        <f>(C3*10)+(E3*5)-(D3*5)</f>
        <v>85</v>
      </c>
      <c r="J3" s="8" t="str">
        <f>IF(H3&gt;=85,"Excellent",IF(H3&gt;=70,"Good","Needs Improvement"))</f>
        <v>Excellent</v>
      </c>
      <c r="K3" s="8" t="str">
        <f>IF(AND(C3&gt;=5,D3&lt;=4,E3&gt;=7),"Balanced","Unbalanced")</f>
        <v>Balanced</v>
      </c>
      <c r="L3" s="8" t="str">
        <f>IF(G3&gt;=75,"Regular","Irregular")</f>
        <v>Regular</v>
      </c>
    </row>
    <row r="4" spans="1:13" x14ac:dyDescent="0.3">
      <c r="A4" s="8">
        <v>7</v>
      </c>
      <c r="B4" s="8" t="s">
        <v>13</v>
      </c>
      <c r="C4" s="8">
        <v>6</v>
      </c>
      <c r="D4" s="8">
        <v>4</v>
      </c>
      <c r="E4" s="8">
        <v>7</v>
      </c>
      <c r="F4" s="8">
        <v>3</v>
      </c>
      <c r="G4" s="8">
        <v>91</v>
      </c>
      <c r="H4" s="8">
        <v>89</v>
      </c>
      <c r="I4" s="8">
        <f>(C4*10)+(E4*5)-(D4*5)</f>
        <v>75</v>
      </c>
      <c r="J4" s="8" t="str">
        <f>IF(H4&gt;=85,"Excellent",IF(H4&gt;=70,"Good","Needs Improvement"))</f>
        <v>Excellent</v>
      </c>
      <c r="K4" s="8" t="str">
        <f>IF(AND(C4&gt;=5,D4&lt;=4,E4&gt;=7),"Balanced","Unbalanced")</f>
        <v>Balanced</v>
      </c>
      <c r="L4" s="8" t="str">
        <f>IF(G4&gt;=75,"Regular","Irregular")</f>
        <v>Regular</v>
      </c>
    </row>
    <row r="5" spans="1:13" x14ac:dyDescent="0.3">
      <c r="A5" s="8">
        <v>4</v>
      </c>
      <c r="B5" s="8" t="s">
        <v>10</v>
      </c>
      <c r="C5" s="8">
        <v>5</v>
      </c>
      <c r="D5" s="8">
        <v>4</v>
      </c>
      <c r="E5" s="8">
        <v>7</v>
      </c>
      <c r="F5" s="8">
        <v>3</v>
      </c>
      <c r="G5" s="8">
        <v>85</v>
      </c>
      <c r="H5" s="8">
        <v>88</v>
      </c>
      <c r="I5" s="8">
        <f>(C5*10)+(E5*5)-(D5*5)</f>
        <v>65</v>
      </c>
      <c r="J5" s="8" t="str">
        <f>IF(H5&gt;=85,"Excellent",IF(H5&gt;=70,"Good","Needs Improvement"))</f>
        <v>Excellent</v>
      </c>
      <c r="K5" s="8" t="str">
        <f>IF(AND(C5&gt;=5,D5&lt;=4,E5&gt;=7),"Balanced","Unbalanced")</f>
        <v>Balanced</v>
      </c>
      <c r="L5" s="8" t="str">
        <f>IF(G5&gt;=75,"Regular","Irregular")</f>
        <v>Regular</v>
      </c>
    </row>
    <row r="6" spans="1:13" x14ac:dyDescent="0.3">
      <c r="A6" s="8">
        <v>6</v>
      </c>
      <c r="B6" s="8" t="s">
        <v>12</v>
      </c>
      <c r="C6" s="8">
        <v>5</v>
      </c>
      <c r="D6" s="8">
        <v>3</v>
      </c>
      <c r="E6" s="8">
        <v>8</v>
      </c>
      <c r="F6" s="8">
        <v>2</v>
      </c>
      <c r="G6" s="8">
        <v>88</v>
      </c>
      <c r="H6" s="8">
        <v>85</v>
      </c>
      <c r="I6" s="8">
        <f>(C6*10)+(E6*5)-(D6*5)</f>
        <v>75</v>
      </c>
      <c r="J6" s="8" t="str">
        <f>IF(H6&gt;=85,"Excellent",IF(H6&gt;=70,"Good","Needs Improvement"))</f>
        <v>Excellent</v>
      </c>
      <c r="K6" s="8" t="str">
        <f>IF(AND(C6&gt;=5,D6&lt;=4,E6&gt;=7),"Balanced","Unbalanced")</f>
        <v>Balanced</v>
      </c>
      <c r="L6" s="8" t="str">
        <f>IF(G6&gt;=75,"Regular","Irregular")</f>
        <v>Regular</v>
      </c>
    </row>
    <row r="7" spans="1:13" x14ac:dyDescent="0.3">
      <c r="A7" s="8">
        <v>13</v>
      </c>
      <c r="B7" s="8" t="s">
        <v>19</v>
      </c>
      <c r="C7" s="8">
        <v>5</v>
      </c>
      <c r="D7" s="8">
        <v>4</v>
      </c>
      <c r="E7" s="8">
        <v>7</v>
      </c>
      <c r="F7" s="8">
        <v>3</v>
      </c>
      <c r="G7" s="8">
        <v>86</v>
      </c>
      <c r="H7" s="8">
        <v>82</v>
      </c>
      <c r="I7" s="8">
        <f>(C7*10)+(E7*5)-(D7*5)</f>
        <v>65</v>
      </c>
      <c r="J7" s="8" t="str">
        <f>IF(H7&gt;=85,"Excellent",IF(H7&gt;=70,"Good","Needs Improvement"))</f>
        <v>Good</v>
      </c>
      <c r="K7" s="8" t="str">
        <f>IF(AND(C7&gt;=5,D7&lt;=4,E7&gt;=7),"Balanced","Unbalanced")</f>
        <v>Balanced</v>
      </c>
      <c r="L7" s="8" t="str">
        <f>IF(G7&gt;=75,"Regular","Irregular")</f>
        <v>Regular</v>
      </c>
    </row>
    <row r="8" spans="1:13" x14ac:dyDescent="0.3">
      <c r="A8" s="8">
        <v>9</v>
      </c>
      <c r="B8" s="8" t="s">
        <v>15</v>
      </c>
      <c r="C8" s="8">
        <v>5</v>
      </c>
      <c r="D8" s="8">
        <v>4</v>
      </c>
      <c r="E8" s="8">
        <v>7</v>
      </c>
      <c r="F8" s="8">
        <v>3</v>
      </c>
      <c r="G8" s="8">
        <v>82</v>
      </c>
      <c r="H8" s="8">
        <v>80</v>
      </c>
      <c r="I8" s="8">
        <f>(C8*10)+(E8*5)-(D8*5)</f>
        <v>65</v>
      </c>
      <c r="J8" s="8" t="str">
        <f>IF(H8&gt;=85,"Excellent",IF(H8&gt;=70,"Good","Needs Improvement"))</f>
        <v>Good</v>
      </c>
      <c r="K8" s="8" t="str">
        <f>IF(AND(C8&gt;=5,D8&lt;=4,E8&gt;=7),"Balanced","Unbalanced")</f>
        <v>Balanced</v>
      </c>
      <c r="L8" s="8" t="str">
        <f>IF(G8&gt;=75,"Regular","Irregular")</f>
        <v>Regular</v>
      </c>
    </row>
    <row r="9" spans="1:13" x14ac:dyDescent="0.3">
      <c r="A9" s="8">
        <v>11</v>
      </c>
      <c r="B9" s="8" t="s">
        <v>17</v>
      </c>
      <c r="C9" s="8">
        <v>5</v>
      </c>
      <c r="D9" s="8">
        <v>5</v>
      </c>
      <c r="E9" s="8">
        <v>7</v>
      </c>
      <c r="F9" s="8">
        <v>4</v>
      </c>
      <c r="G9" s="8">
        <v>84</v>
      </c>
      <c r="H9" s="8">
        <v>79</v>
      </c>
      <c r="I9" s="8">
        <f>(C9*10)+(E9*5)-(D9*5)</f>
        <v>60</v>
      </c>
      <c r="J9" s="8" t="str">
        <f>IF(H9&gt;=85,"Excellent",IF(H9&gt;=70,"Good","Needs Improvement"))</f>
        <v>Good</v>
      </c>
      <c r="K9" s="8" t="str">
        <f>IF(AND(C9&gt;=5,D9&lt;=4,E9&gt;=7),"Balanced","Unbalanced")</f>
        <v>Unbalanced</v>
      </c>
      <c r="L9" s="8" t="str">
        <f>IF(G9&gt;=75,"Regular","Irregular")</f>
        <v>Regular</v>
      </c>
    </row>
    <row r="10" spans="1:13" x14ac:dyDescent="0.3">
      <c r="A10" s="8">
        <v>8</v>
      </c>
      <c r="B10" s="8" t="s">
        <v>14</v>
      </c>
      <c r="C10" s="8">
        <v>4</v>
      </c>
      <c r="D10" s="8">
        <v>5</v>
      </c>
      <c r="E10" s="8">
        <v>6</v>
      </c>
      <c r="F10" s="8">
        <v>4</v>
      </c>
      <c r="G10" s="8">
        <v>78</v>
      </c>
      <c r="H10" s="8">
        <v>74</v>
      </c>
      <c r="I10" s="8">
        <f>(C10*10)+(E10*5)-(D10*5)</f>
        <v>45</v>
      </c>
      <c r="J10" s="8" t="str">
        <f>IF(H10&gt;=85,"Excellent",IF(H10&gt;=70,"Good","Needs Improvement"))</f>
        <v>Good</v>
      </c>
      <c r="K10" s="8" t="str">
        <f>IF(AND(C10&gt;=5,D10&lt;=4,E10&gt;=7),"Balanced","Unbalanced")</f>
        <v>Unbalanced</v>
      </c>
      <c r="L10" s="8" t="str">
        <f>IF(G10&gt;=75,"Regular","Irregular")</f>
        <v>Regular</v>
      </c>
    </row>
    <row r="11" spans="1:13" x14ac:dyDescent="0.3">
      <c r="A11" s="8">
        <v>5</v>
      </c>
      <c r="B11" s="8" t="s">
        <v>11</v>
      </c>
      <c r="C11" s="8">
        <v>4</v>
      </c>
      <c r="D11" s="8">
        <v>6</v>
      </c>
      <c r="E11" s="8">
        <v>6</v>
      </c>
      <c r="F11" s="8">
        <v>5</v>
      </c>
      <c r="G11" s="8">
        <v>70</v>
      </c>
      <c r="H11" s="8">
        <v>69</v>
      </c>
      <c r="I11" s="8">
        <f>(C11*10)+(E11*5)-(D11*5)</f>
        <v>40</v>
      </c>
      <c r="J11" s="8" t="str">
        <f>IF(H11&gt;=85,"Excellent",IF(H11&gt;=70,"Good","Needs Improvement"))</f>
        <v>Needs Improvement</v>
      </c>
      <c r="K11" s="8" t="str">
        <f>IF(AND(C11&gt;=5,D11&lt;=4,E11&gt;=7),"Balanced","Unbalanced")</f>
        <v>Unbalanced</v>
      </c>
      <c r="L11" s="8" t="str">
        <f>IF(G11&gt;=75,"Regular","Irregular")</f>
        <v>Irregular</v>
      </c>
    </row>
    <row r="12" spans="1:13" x14ac:dyDescent="0.3">
      <c r="A12" s="8">
        <v>12</v>
      </c>
      <c r="B12" s="8" t="s">
        <v>18</v>
      </c>
      <c r="C12" s="8">
        <v>3</v>
      </c>
      <c r="D12" s="8">
        <v>6</v>
      </c>
      <c r="E12" s="8">
        <v>6</v>
      </c>
      <c r="F12" s="8">
        <v>5</v>
      </c>
      <c r="G12" s="8">
        <v>73</v>
      </c>
      <c r="H12" s="8">
        <v>67</v>
      </c>
      <c r="I12" s="8">
        <f>(C12*10)+(E12*5)-(D12*5)</f>
        <v>30</v>
      </c>
      <c r="J12" s="8" t="str">
        <f>IF(H12&gt;=85,"Excellent",IF(H12&gt;=70,"Good","Needs Improvement"))</f>
        <v>Needs Improvement</v>
      </c>
      <c r="K12" s="8" t="str">
        <f>IF(AND(C12&gt;=5,D12&lt;=4,E12&gt;=7),"Balanced","Unbalanced")</f>
        <v>Unbalanced</v>
      </c>
      <c r="L12" s="8" t="str">
        <f>IF(G12&gt;=75,"Regular","Irregular")</f>
        <v>Irregular</v>
      </c>
    </row>
    <row r="13" spans="1:13" x14ac:dyDescent="0.3">
      <c r="A13" s="8">
        <v>3</v>
      </c>
      <c r="B13" s="8" t="s">
        <v>9</v>
      </c>
      <c r="C13" s="8">
        <v>3</v>
      </c>
      <c r="D13" s="8">
        <v>6</v>
      </c>
      <c r="E13" s="8">
        <v>6</v>
      </c>
      <c r="F13" s="8">
        <v>4</v>
      </c>
      <c r="G13" s="8">
        <v>72</v>
      </c>
      <c r="H13" s="8">
        <v>65</v>
      </c>
      <c r="I13" s="8">
        <f>(C13*10)+(E13*5)-(D13*5)</f>
        <v>30</v>
      </c>
      <c r="J13" s="8" t="str">
        <f>IF(H13&gt;=85,"Excellent",IF(H13&gt;=70,"Good","Needs Improvement"))</f>
        <v>Needs Improvement</v>
      </c>
      <c r="K13" s="8" t="str">
        <f>IF(AND(C13&gt;=5,D13&lt;=4,E13&gt;=7),"Balanced","Unbalanced")</f>
        <v>Unbalanced</v>
      </c>
      <c r="L13" s="8" t="str">
        <f>IF(G13&gt;=75,"Regular","Irregular")</f>
        <v>Irregular</v>
      </c>
    </row>
    <row r="14" spans="1:13" x14ac:dyDescent="0.3">
      <c r="A14" s="8">
        <v>2</v>
      </c>
      <c r="B14" s="8" t="s">
        <v>8</v>
      </c>
      <c r="C14" s="8">
        <v>2</v>
      </c>
      <c r="D14" s="8">
        <v>7</v>
      </c>
      <c r="E14" s="8">
        <v>5</v>
      </c>
      <c r="F14" s="8">
        <v>5</v>
      </c>
      <c r="G14" s="8">
        <v>68</v>
      </c>
      <c r="H14" s="8">
        <v>60</v>
      </c>
      <c r="I14" s="8">
        <f>(C14*10)+(E14*5)-(D14*5)</f>
        <v>10</v>
      </c>
      <c r="J14" s="8" t="str">
        <f>IF(H14&gt;=85,"Excellent",IF(H14&gt;=70,"Good","Needs Improvement"))</f>
        <v>Needs Improvement</v>
      </c>
      <c r="K14" s="8" t="str">
        <f>IF(AND(C14&gt;=5,D14&lt;=4,E14&gt;=7),"Balanced","Unbalanced")</f>
        <v>Unbalanced</v>
      </c>
      <c r="L14" s="8" t="str">
        <f>IF(G14&gt;=75,"Regular","Irregular")</f>
        <v>Irregular</v>
      </c>
    </row>
    <row r="15" spans="1:13" x14ac:dyDescent="0.3">
      <c r="A15" s="4"/>
      <c r="B15" s="4"/>
      <c r="C15" s="4"/>
      <c r="D15" s="4"/>
      <c r="E15" s="4"/>
      <c r="F15" s="4"/>
      <c r="I15" s="4"/>
      <c r="J15" s="4"/>
      <c r="K15" s="4"/>
      <c r="L15" s="4"/>
    </row>
    <row r="16" spans="1:13" x14ac:dyDescent="0.3">
      <c r="A16" s="4"/>
      <c r="B16" s="4"/>
      <c r="C16" s="4"/>
      <c r="D16" s="4"/>
      <c r="E16" s="4"/>
      <c r="F16" s="4"/>
      <c r="G16" s="2" t="s">
        <v>30</v>
      </c>
      <c r="H16" s="2" t="str">
        <f>INDEX(B2:B14,MATCH(MAX(H2:H14),H2:H14,0))</f>
        <v>Priya</v>
      </c>
      <c r="I16" s="4"/>
      <c r="J16" s="4"/>
      <c r="K16" s="4"/>
      <c r="L16" s="4"/>
    </row>
    <row r="17" spans="1:8" x14ac:dyDescent="0.3">
      <c r="A17" s="4"/>
      <c r="B17" s="4"/>
      <c r="C17" s="4"/>
      <c r="D17" s="4"/>
      <c r="E17" s="4"/>
      <c r="F17" s="4"/>
      <c r="G17" s="2" t="s">
        <v>31</v>
      </c>
      <c r="H17" s="2" t="str">
        <f>INDEX(B2:B14,MATCH(MIN(H2:H14),H2:H14,0))</f>
        <v>Rohan</v>
      </c>
    </row>
    <row r="18" spans="1:8" x14ac:dyDescent="0.3">
      <c r="A18" s="4"/>
      <c r="B18" s="4"/>
      <c r="C18" s="4"/>
      <c r="D18" s="4"/>
      <c r="E18" s="4"/>
      <c r="F18" s="4"/>
      <c r="G18" s="2" t="s">
        <v>32</v>
      </c>
      <c r="H18" s="2">
        <f>AVERAGE(H2:H14)</f>
        <v>78.538461538461533</v>
      </c>
    </row>
    <row r="19" spans="1:8" s="3" customFormat="1" x14ac:dyDescent="0.3">
      <c r="A19" s="4"/>
      <c r="B19" s="4"/>
      <c r="C19" s="4"/>
      <c r="D19" s="4"/>
      <c r="E19" s="4"/>
      <c r="F19" s="4"/>
      <c r="G19" s="2" t="s">
        <v>28</v>
      </c>
      <c r="H19" s="2">
        <f>COUNTIF(D2:D14,"&gt;5")</f>
        <v>4</v>
      </c>
    </row>
    <row r="20" spans="1:8" x14ac:dyDescent="0.3">
      <c r="A20" s="4"/>
      <c r="B20" s="4"/>
      <c r="C20" s="4"/>
      <c r="D20" s="4"/>
      <c r="E20" s="4"/>
      <c r="F20" s="4"/>
      <c r="G20" s="6" t="s">
        <v>33</v>
      </c>
      <c r="H20" s="5">
        <f>COUNTIF(K2:K14,"Balanced")</f>
        <v>7</v>
      </c>
    </row>
    <row r="21" spans="1:8" x14ac:dyDescent="0.3">
      <c r="A21" s="4"/>
      <c r="B21" s="4"/>
      <c r="C21" s="4"/>
      <c r="D21" s="4"/>
      <c r="E21" s="4"/>
      <c r="F21" s="4"/>
      <c r="G21" s="5" t="s">
        <v>34</v>
      </c>
      <c r="H21" s="2" t="e">
        <f>VLOOKUP("Aditi",A2:H14,8,FALSE)</f>
        <v>#N/A</v>
      </c>
    </row>
    <row r="22" spans="1:8" x14ac:dyDescent="0.3">
      <c r="G22" s="5" t="s">
        <v>35</v>
      </c>
      <c r="H22" s="2">
        <f>COUNTIF(H2:H14,"&gt;85")</f>
        <v>4</v>
      </c>
    </row>
    <row r="23" spans="1:8" x14ac:dyDescent="0.3">
      <c r="G23" s="5" t="s">
        <v>36</v>
      </c>
      <c r="H23" s="2">
        <f>H2</f>
        <v>92</v>
      </c>
    </row>
  </sheetData>
  <autoFilter ref="A1:L14" xr:uid="{00000000-0001-0000-0000-000000000000}"/>
  <sortState xmlns:xlrd2="http://schemas.microsoft.com/office/spreadsheetml/2017/richdata2" ref="A2:L21">
    <sortCondition descending="1" ref="H2:H2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20</v>
      </c>
      <c r="B1">
        <f>AVERAGE('Student Dataset'!H2:H14)</f>
        <v>78.538461538461533</v>
      </c>
    </row>
    <row r="2" spans="1:2" x14ac:dyDescent="0.3">
      <c r="A2" t="s">
        <v>21</v>
      </c>
      <c r="B2" t="str">
        <f>INDEX('Student Dataset'!B2:B14,MATCH(MAX('Student Dataset'!H2:H14),'Student Dataset'!H2:H14,0))</f>
        <v>Priya</v>
      </c>
    </row>
    <row r="3" spans="1:2" x14ac:dyDescent="0.3">
      <c r="A3" t="s">
        <v>22</v>
      </c>
      <c r="B3" t="str">
        <f>INDEX('Student Dataset'!B2:B14,MATCH(MIN('Student Dataset'!H2:H14),'Student Dataset'!H2:H14,0))</f>
        <v>Rohan</v>
      </c>
    </row>
    <row r="4" spans="1:2" x14ac:dyDescent="0.3">
      <c r="A4" t="s">
        <v>23</v>
      </c>
      <c r="B4">
        <f>COUNTIF('Student Dataset'!D2:D14,"&gt;5")</f>
        <v>4</v>
      </c>
    </row>
    <row r="5" spans="1:2" x14ac:dyDescent="0.3">
      <c r="A5" t="s">
        <v>24</v>
      </c>
      <c r="B5">
        <f>COUNTIF('Student Dataset'!K2:K14,"Balanced")</f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Dataset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verma</cp:lastModifiedBy>
  <dcterms:created xsi:type="dcterms:W3CDTF">2026-04-19T15:33:59Z</dcterms:created>
  <dcterms:modified xsi:type="dcterms:W3CDTF">2026-04-19T16:16:52Z</dcterms:modified>
</cp:coreProperties>
</file>